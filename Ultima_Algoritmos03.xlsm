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tzGuel\Desktop\Proyect-Algoritmos\"/>
    </mc:Choice>
  </mc:AlternateContent>
  <bookViews>
    <workbookView xWindow="0" yWindow="0" windowWidth="20490" windowHeight="7755" firstSheet="2" activeTab="2"/>
  </bookViews>
  <sheets>
    <sheet name="ddTraDa.hoja" sheetId="4" state="hidden" r:id="rId1"/>
    <sheet name="Gráfico1" sheetId="8" state="hidden" r:id="rId2"/>
    <sheet name="Hoja1" sheetId="1" r:id="rId3"/>
    <sheet name="Hoja2" sheetId="5" r:id="rId4"/>
    <sheet name="Hoja3" sheetId="6" r:id="rId5"/>
    <sheet name="Hoja4" sheetId="7" r:id="rId6"/>
    <sheet name="Hoja5" sheetId="9" r:id="rId7"/>
    <sheet name="Hoja6" sheetId="10" r:id="rId8"/>
  </sheets>
  <definedNames>
    <definedName name="_xlnm._FilterDatabase" localSheetId="2" hidden="1">Hoja1!$C$1:$C$8</definedName>
    <definedName name="_xlnm.Extract" localSheetId="0">ddTraDa.hoja!$A$1</definedName>
    <definedName name="Tabla1">Hoja1!$A$2:$D$8</definedName>
  </definedNames>
  <calcPr calcId="152511"/>
</workbook>
</file>

<file path=xl/calcChain.xml><?xml version="1.0" encoding="utf-8"?>
<calcChain xmlns="http://schemas.openxmlformats.org/spreadsheetml/2006/main">
  <c r="A8" i="6" l="1"/>
  <c r="M8" i="6"/>
  <c r="I8" i="1" s="1"/>
  <c r="A7" i="6"/>
  <c r="M7" i="6" l="1"/>
  <c r="M6" i="6"/>
  <c r="I6" i="1" s="1"/>
  <c r="A6" i="6"/>
  <c r="M5" i="6"/>
  <c r="A5" i="6"/>
  <c r="M4" i="6"/>
  <c r="I4" i="1" s="1"/>
  <c r="A4" i="6"/>
  <c r="M3" i="6"/>
  <c r="A3" i="6"/>
  <c r="M2" i="6"/>
  <c r="I2" i="1" s="1"/>
  <c r="A2" i="6"/>
  <c r="I5" i="1"/>
  <c r="I3" i="1"/>
</calcChain>
</file>

<file path=xl/sharedStrings.xml><?xml version="1.0" encoding="utf-8"?>
<sst xmlns="http://schemas.openxmlformats.org/spreadsheetml/2006/main" count="156" uniqueCount="71">
  <si>
    <t>ID</t>
  </si>
  <si>
    <t>Proyecto</t>
  </si>
  <si>
    <t>Responsable 1</t>
  </si>
  <si>
    <t>Responsable 2</t>
  </si>
  <si>
    <t>Fecha Inicio</t>
  </si>
  <si>
    <t>Fecha Final</t>
  </si>
  <si>
    <t>Ingreso</t>
  </si>
  <si>
    <t xml:space="preserve">Tareas </t>
  </si>
  <si>
    <t>Avance</t>
  </si>
  <si>
    <t>Arquitectura de PC</t>
  </si>
  <si>
    <t>Hector Guel</t>
  </si>
  <si>
    <t>Enrique Munguia</t>
  </si>
  <si>
    <t>Creatividad y Emprenndedores</t>
  </si>
  <si>
    <t>Daniel Lugo</t>
  </si>
  <si>
    <t>Adrian Medina</t>
  </si>
  <si>
    <t>Inteligencia Artificial I</t>
  </si>
  <si>
    <t>Hector Gutierrez Guel</t>
  </si>
  <si>
    <t>Luis Vergara Garcia</t>
  </si>
  <si>
    <t>Administracion de Calidad</t>
  </si>
  <si>
    <t>Juan Alberto Diaz</t>
  </si>
  <si>
    <t>Alejandra Lopez Gonzales</t>
  </si>
  <si>
    <t>organizacion Computacional</t>
  </si>
  <si>
    <t>Luis Enrique Munguia</t>
  </si>
  <si>
    <t>500000</t>
  </si>
  <si>
    <t>10</t>
  </si>
  <si>
    <t>Jorge Alberto Saldierna</t>
  </si>
  <si>
    <t>Especifica</t>
  </si>
  <si>
    <t>Responsable1</t>
  </si>
  <si>
    <t>Responsable2</t>
  </si>
  <si>
    <t>Fecha-Inicio</t>
  </si>
  <si>
    <t>Fecha-Final</t>
  </si>
  <si>
    <t>Tareas</t>
  </si>
  <si>
    <t>Matematicas Financieras</t>
  </si>
  <si>
    <t>Fernando Arriaga</t>
  </si>
  <si>
    <t>Andrea Rodriguez</t>
  </si>
  <si>
    <t>78000</t>
  </si>
  <si>
    <t>Tarea 1</t>
  </si>
  <si>
    <t>Tarea 2</t>
  </si>
  <si>
    <t>Tarea 3</t>
  </si>
  <si>
    <t>Tarea 4</t>
  </si>
  <si>
    <t>Tarea 5</t>
  </si>
  <si>
    <t>Tarea 6</t>
  </si>
  <si>
    <t>Tarea 7</t>
  </si>
  <si>
    <t>Tarea 8</t>
  </si>
  <si>
    <t>Tarea 9</t>
  </si>
  <si>
    <t>Tarea 10</t>
  </si>
  <si>
    <t>Tarea 11</t>
  </si>
  <si>
    <t>0,00</t>
  </si>
  <si>
    <t>0</t>
  </si>
  <si>
    <t>Tarea</t>
  </si>
  <si>
    <t>REPORTE DE PROYECTO</t>
  </si>
  <si>
    <t>Nombre del proyecto</t>
  </si>
  <si>
    <t>Fecha de inicio</t>
  </si>
  <si>
    <t>Fecha final</t>
  </si>
  <si>
    <t>Ha finalizado el reporte, para mayor informacion o duda debes realizar al contacto con el gestor de este proyecto, suerte con tu proyecto, sigue adelante…</t>
  </si>
  <si>
    <t>%</t>
  </si>
  <si>
    <t>Bases de Datos</t>
  </si>
  <si>
    <t>Columna1</t>
  </si>
  <si>
    <t>Columna2</t>
  </si>
  <si>
    <t>Columna3</t>
  </si>
  <si>
    <t>Columna4</t>
  </si>
  <si>
    <t>0,34375</t>
  </si>
  <si>
    <t>20</t>
  </si>
  <si>
    <t>102</t>
  </si>
  <si>
    <t>15</t>
  </si>
  <si>
    <t>152</t>
  </si>
  <si>
    <t>202</t>
  </si>
  <si>
    <t>Hector Guterrez Guel</t>
  </si>
  <si>
    <t xml:space="preserve">Jose Luis Vergara </t>
  </si>
  <si>
    <t>20/11/2015</t>
  </si>
  <si>
    <t>0,133333333333333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</si>
</sst>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[$€]_-;\-* #,##0.00\ [$€]_-;_-* &quot;-&quot;??\ [$€]_-;_-@_-"/>
    <numFmt numFmtId="165" formatCode="#,##0.00\ _€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Verdana"/>
      <family val="2"/>
    </font>
    <font>
      <b/>
      <sz val="18"/>
      <color indexed="62"/>
      <name val="Cambri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2"/>
      <color theme="6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FF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5">
    <xf numFmtId="0" fontId="0" fillId="0" borderId="0"/>
    <xf numFmtId="0" fontId="5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9" borderId="0" applyNumberFormat="0" applyBorder="0" applyAlignment="0" applyProtection="0"/>
    <xf numFmtId="0" fontId="1" fillId="6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12" borderId="0" applyNumberFormat="0" applyBorder="0" applyAlignment="0" applyProtection="0"/>
    <xf numFmtId="0" fontId="1" fillId="6" borderId="0" applyNumberFormat="0" applyBorder="0" applyAlignment="0" applyProtection="0"/>
    <xf numFmtId="0" fontId="2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13" borderId="0" applyNumberFormat="0" applyBorder="0" applyAlignment="0" applyProtection="0"/>
    <xf numFmtId="0" fontId="2" fillId="13" borderId="0" applyNumberFormat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1" xfId="0" applyBorder="1"/>
    <xf numFmtId="0" fontId="4" fillId="2" borderId="1" xfId="0" applyFont="1" applyFill="1" applyBorder="1"/>
    <xf numFmtId="0" fontId="5" fillId="0" borderId="0" xfId="1"/>
    <xf numFmtId="0" fontId="0" fillId="14" borderId="4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0" fillId="14" borderId="1" xfId="0" applyFont="1" applyFill="1" applyBorder="1" applyAlignment="1">
      <alignment horizontal="left" wrapText="1"/>
    </xf>
    <xf numFmtId="0" fontId="0" fillId="14" borderId="1" xfId="0" applyFill="1" applyBorder="1" applyAlignment="1">
      <alignment horizontal="left" wrapText="1"/>
    </xf>
    <xf numFmtId="14" fontId="0" fillId="14" borderId="1" xfId="0" applyNumberFormat="1" applyFill="1" applyBorder="1" applyAlignment="1">
      <alignment horizontal="left" wrapText="1"/>
    </xf>
    <xf numFmtId="165" fontId="0" fillId="14" borderId="1" xfId="0" applyNumberFormat="1" applyFill="1" applyBorder="1" applyAlignment="1">
      <alignment horizontal="left" wrapText="1"/>
    </xf>
    <xf numFmtId="0" fontId="0" fillId="14" borderId="3" xfId="0" applyFill="1" applyBorder="1" applyAlignment="1">
      <alignment horizontal="left" wrapText="1"/>
    </xf>
    <xf numFmtId="14" fontId="0" fillId="14" borderId="3" xfId="0" applyNumberFormat="1" applyFill="1" applyBorder="1" applyAlignment="1">
      <alignment horizontal="left" wrapText="1"/>
    </xf>
    <xf numFmtId="10" fontId="0" fillId="14" borderId="10" xfId="0" applyNumberFormat="1" applyFill="1" applyBorder="1" applyAlignment="1">
      <alignment horizontal="left" wrapText="1"/>
    </xf>
    <xf numFmtId="10" fontId="0" fillId="14" borderId="11" xfId="0" applyNumberFormat="1" applyFill="1" applyBorder="1" applyAlignment="1">
      <alignment horizontal="left" wrapText="1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7" borderId="0" xfId="0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8" fillId="18" borderId="6" xfId="0" applyFont="1" applyFill="1" applyBorder="1" applyAlignment="1">
      <alignment horizontal="center" vertical="center"/>
    </xf>
    <xf numFmtId="0" fontId="8" fillId="18" borderId="7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0" fillId="0" borderId="0" xfId="0" applyNumberFormat="1" applyAlignment="1" applyProtection="1">
      <alignment horizontal="center" vertical="center"/>
    </xf>
    <xf numFmtId="0" fontId="0" fillId="14" borderId="0" xfId="0" applyNumberFormat="1" applyFill="1" applyAlignment="1" applyProtection="1">
      <alignment horizontal="center"/>
    </xf>
    <xf numFmtId="0" fontId="0" fillId="0" borderId="0" xfId="0" applyNumberFormat="1" applyProtection="1"/>
    <xf numFmtId="0" fontId="0" fillId="14" borderId="0" xfId="0" quotePrefix="1" applyFill="1" applyAlignment="1">
      <alignment horizontal="left"/>
    </xf>
    <xf numFmtId="0" fontId="0" fillId="14" borderId="1" xfId="0" applyFill="1" applyBorder="1" applyAlignment="1">
      <alignment horizontal="center" wrapText="1"/>
    </xf>
    <xf numFmtId="0" fontId="0" fillId="14" borderId="3" xfId="0" applyFill="1" applyBorder="1" applyAlignment="1">
      <alignment horizontal="center" wrapText="1"/>
    </xf>
    <xf numFmtId="2" fontId="0" fillId="17" borderId="0" xfId="0" applyNumberFormat="1" applyFill="1" applyAlignment="1">
      <alignment horizontal="center" vertical="center"/>
    </xf>
    <xf numFmtId="2" fontId="0" fillId="0" borderId="0" xfId="0" applyNumberFormat="1"/>
    <xf numFmtId="2" fontId="11" fillId="14" borderId="0" xfId="0" applyNumberFormat="1" applyFont="1" applyFill="1"/>
    <xf numFmtId="0" fontId="0" fillId="14" borderId="2" xfId="0" applyFill="1" applyBorder="1" applyAlignment="1">
      <alignment horizontal="left" wrapText="1"/>
    </xf>
    <xf numFmtId="2" fontId="8" fillId="18" borderId="8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13" xfId="0" applyBorder="1"/>
    <xf numFmtId="0" fontId="0" fillId="0" borderId="16" xfId="0" applyBorder="1"/>
    <xf numFmtId="0" fontId="13" fillId="0" borderId="0" xfId="0" applyFont="1" applyBorder="1" applyAlignment="1">
      <alignment horizontal="left"/>
    </xf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13" fillId="0" borderId="19" xfId="0" applyFont="1" applyBorder="1" applyAlignment="1">
      <alignment horizontal="left"/>
    </xf>
    <xf numFmtId="0" fontId="0" fillId="0" borderId="19" xfId="0" applyBorder="1"/>
    <xf numFmtId="0" fontId="0" fillId="0" borderId="20" xfId="0" applyBorder="1"/>
    <xf numFmtId="14" fontId="0" fillId="0" borderId="0" xfId="0" applyNumberFormat="1"/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14" fontId="4" fillId="0" borderId="12" xfId="0" applyNumberFormat="1" applyFont="1" applyBorder="1" applyAlignment="1">
      <alignment horizontal="right"/>
    </xf>
    <xf numFmtId="0" fontId="4" fillId="0" borderId="19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16" fillId="0" borderId="0" xfId="0" applyFont="1" applyBorder="1"/>
    <xf numFmtId="2" fontId="17" fillId="14" borderId="0" xfId="0" applyNumberFormat="1" applyFont="1" applyFill="1"/>
    <xf numFmtId="0" fontId="13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</cellXfs>
  <cellStyles count="25">
    <cellStyle name="Énfasis 1" xfId="2"/>
    <cellStyle name="Énfasis 2" xfId="3"/>
    <cellStyle name="Énfasis 3" xfId="4"/>
    <cellStyle name="Énfasis1 - 20%" xfId="5"/>
    <cellStyle name="Énfasis1 - 40%" xfId="6"/>
    <cellStyle name="Énfasis1 - 60%" xfId="7"/>
    <cellStyle name="Énfasis2 - 20%" xfId="8"/>
    <cellStyle name="Énfasis2 - 40%" xfId="9"/>
    <cellStyle name="Énfasis2 - 60%" xfId="10"/>
    <cellStyle name="Énfasis3 - 20%" xfId="11"/>
    <cellStyle name="Énfasis3 - 40%" xfId="12"/>
    <cellStyle name="Énfasis3 - 60%" xfId="13"/>
    <cellStyle name="Énfasis4 - 20%" xfId="14"/>
    <cellStyle name="Énfasis4 - 40%" xfId="15"/>
    <cellStyle name="Énfasis4 - 60%" xfId="16"/>
    <cellStyle name="Énfasis5 - 20%" xfId="17"/>
    <cellStyle name="Énfasis5 - 40%" xfId="18"/>
    <cellStyle name="Énfasis5 - 60%" xfId="19"/>
    <cellStyle name="Énfasis6 - 20%" xfId="20"/>
    <cellStyle name="Énfasis6 - 40%" xfId="21"/>
    <cellStyle name="Énfasis6 - 60%" xfId="22"/>
    <cellStyle name="Euro" xfId="23"/>
    <cellStyle name="Normal" xfId="0" builtinId="0"/>
    <cellStyle name="Normal 2" xfId="1"/>
    <cellStyle name="Título de hoja" xfId="24"/>
  </cellStyles>
  <dxfs count="52">
    <dxf>
      <numFmt numFmtId="14" formatCode="0.00%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713608"/>
        <c:axId val="285708512"/>
      </c:barChart>
      <c:catAx>
        <c:axId val="285713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08512"/>
        <c:crosses val="autoZero"/>
        <c:auto val="1"/>
        <c:lblAlgn val="ctr"/>
        <c:lblOffset val="100"/>
        <c:noMultiLvlLbl val="0"/>
      </c:catAx>
      <c:valAx>
        <c:axId val="2857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1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Hoja5!$B$1</c:f>
              <c:strCache>
                <c:ptCount val="1"/>
                <c:pt idx="0">
                  <c:v>Avance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Hoja5!$A$2:$A$12</c:f>
              <c:strCache>
                <c:ptCount val="11"/>
                <c:pt idx="0">
                  <c:v>Tarea 1</c:v>
                </c:pt>
                <c:pt idx="1">
                  <c:v>Tarea 2</c:v>
                </c:pt>
                <c:pt idx="2">
                  <c:v>Tarea 3</c:v>
                </c:pt>
                <c:pt idx="3">
                  <c:v>Tarea 4</c:v>
                </c:pt>
                <c:pt idx="4">
                  <c:v>Tarea 5</c:v>
                </c:pt>
                <c:pt idx="5">
                  <c:v>Tarea 6</c:v>
                </c:pt>
                <c:pt idx="6">
                  <c:v>Tarea 7</c:v>
                </c:pt>
                <c:pt idx="7">
                  <c:v>Tarea 8</c:v>
                </c:pt>
                <c:pt idx="8">
                  <c:v>Tarea 9</c:v>
                </c:pt>
                <c:pt idx="9">
                  <c:v>Tarea 10</c:v>
                </c:pt>
                <c:pt idx="10">
                  <c:v>Tarea 11</c:v>
                </c:pt>
              </c:strCache>
            </c:strRef>
          </c:cat>
          <c:val>
            <c:numRef>
              <c:f>Hoja5!$B$2:$B$12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5709296"/>
        <c:axId val="285714000"/>
      </c:barChart>
      <c:catAx>
        <c:axId val="28570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14000"/>
        <c:crosses val="autoZero"/>
        <c:auto val="1"/>
        <c:lblAlgn val="ctr"/>
        <c:lblOffset val="100"/>
        <c:noMultiLvlLbl val="0"/>
      </c:catAx>
      <c:valAx>
        <c:axId val="2857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0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Hoja5!$B$1</c:f>
              <c:strCache>
                <c:ptCount val="1"/>
                <c:pt idx="0">
                  <c:v>Avance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Hoja5!$A$2:$A$12</c:f>
              <c:strCache>
                <c:ptCount val="11"/>
                <c:pt idx="0">
                  <c:v>Tarea 1</c:v>
                </c:pt>
                <c:pt idx="1">
                  <c:v>Tarea 2</c:v>
                </c:pt>
                <c:pt idx="2">
                  <c:v>Tarea 3</c:v>
                </c:pt>
                <c:pt idx="3">
                  <c:v>Tarea 4</c:v>
                </c:pt>
                <c:pt idx="4">
                  <c:v>Tarea 5</c:v>
                </c:pt>
                <c:pt idx="5">
                  <c:v>Tarea 6</c:v>
                </c:pt>
                <c:pt idx="6">
                  <c:v>Tarea 7</c:v>
                </c:pt>
                <c:pt idx="7">
                  <c:v>Tarea 8</c:v>
                </c:pt>
                <c:pt idx="8">
                  <c:v>Tarea 9</c:v>
                </c:pt>
                <c:pt idx="9">
                  <c:v>Tarea 10</c:v>
                </c:pt>
                <c:pt idx="10">
                  <c:v>Tarea 11</c:v>
                </c:pt>
              </c:strCache>
            </c:strRef>
          </c:cat>
          <c:val>
            <c:numRef>
              <c:f>Hoja5!$B$2:$B$12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5709688"/>
        <c:axId val="285710864"/>
      </c:barChart>
      <c:catAx>
        <c:axId val="285709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10864"/>
        <c:crosses val="autoZero"/>
        <c:auto val="1"/>
        <c:lblAlgn val="ctr"/>
        <c:lblOffset val="100"/>
        <c:noMultiLvlLbl val="0"/>
      </c:catAx>
      <c:valAx>
        <c:axId val="28571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5709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790575</xdr:colOff>
          <xdr:row>7</xdr:row>
          <xdr:rowOff>0</xdr:rowOff>
        </xdr:from>
        <xdr:to>
          <xdr:col>10</xdr:col>
          <xdr:colOff>457200</xdr:colOff>
          <xdr:row>9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200023</xdr:colOff>
      <xdr:row>5</xdr:row>
      <xdr:rowOff>4762</xdr:rowOff>
    </xdr:from>
    <xdr:to>
      <xdr:col>8</xdr:col>
      <xdr:colOff>200023</xdr:colOff>
      <xdr:row>18</xdr:row>
      <xdr:rowOff>68262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20</xdr:row>
      <xdr:rowOff>47625</xdr:rowOff>
    </xdr:from>
    <xdr:to>
      <xdr:col>4</xdr:col>
      <xdr:colOff>2838450</xdr:colOff>
      <xdr:row>32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a2" displayName="Tabla2" ref="A1:I8" totalsRowShown="0" headerRowDxfId="13" dataDxfId="12" headerRowBorderDxfId="10" tableBorderDxfId="11" totalsRowBorderDxfId="9">
  <autoFilter ref="A1:I8"/>
  <tableColumns count="9">
    <tableColumn id="1" name="ID" dataDxfId="8"/>
    <tableColumn id="2" name="Proyecto" dataDxfId="7"/>
    <tableColumn id="3" name="Responsable 1" dataDxfId="6"/>
    <tableColumn id="4" name="Responsable 2" dataDxfId="5"/>
    <tableColumn id="5" name="Fecha Inicio" dataDxfId="4"/>
    <tableColumn id="6" name="Fecha Final" dataDxfId="3"/>
    <tableColumn id="7" name="Ingreso" dataDxfId="2"/>
    <tableColumn id="8" name="Tareas " dataDxfId="1"/>
    <tableColumn id="9" name="0,00" dataDxfId="0">
      <calculatedColumnFormula>Porcentaje[[#This Row],[0,00]]/100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3" name="Tareas" displayName="Tareas" ref="A1:L8" totalsRowShown="0" headerRowDxfId="51" dataDxfId="50">
  <autoFilter ref="A1:L8"/>
  <tableColumns count="12">
    <tableColumn id="1" name="0" dataDxfId="49"/>
    <tableColumn id="2" name="20" dataDxfId="48"/>
    <tableColumn id="3" name="202" dataDxfId="47"/>
    <tableColumn id="4" name="15" dataDxfId="46"/>
    <tableColumn id="5" name="152" dataDxfId="45"/>
    <tableColumn id="6" name="10" dataDxfId="44"/>
    <tableColumn id="7" name="102" dataDxfId="43"/>
    <tableColumn id="8" name="Columna4" dataDxfId="42"/>
    <tableColumn id="9" name="Columna1" dataDxfId="41"/>
    <tableColumn id="10" name="Columna2" dataDxfId="40"/>
    <tableColumn id="11" name="Columna3" dataDxfId="39"/>
    <tableColumn id="12" name="Tarea 11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orcentaje" displayName="Porcentaje" ref="A1:M8" totalsRowShown="0" headerRowDxfId="37" dataDxfId="36">
  <autoFilter ref="A1:M8"/>
  <tableColumns count="13">
    <tableColumn id="1" name="0" dataDxfId="35">
      <calculatedColumnFormula>Tabla2[[#This Row],[Proyecto]]</calculatedColumnFormula>
    </tableColumn>
    <tableColumn id="2" name="Tarea 1" dataDxfId="34"/>
    <tableColumn id="3" name="Tarea 2" dataDxfId="33"/>
    <tableColumn id="4" name="Tarea 3" dataDxfId="32"/>
    <tableColumn id="5" name="Tarea 4" dataDxfId="31"/>
    <tableColumn id="6" name="Tarea 5" dataDxfId="30"/>
    <tableColumn id="7" name="Tarea 6" dataDxfId="29"/>
    <tableColumn id="8" name="Tarea 7" dataDxfId="28"/>
    <tableColumn id="9" name="Tarea 8" dataDxfId="27"/>
    <tableColumn id="10" name="Tarea 9" dataDxfId="26"/>
    <tableColumn id="11" name="Tarea 10" dataDxfId="25"/>
    <tableColumn id="12" name="Tarea 11" dataDxfId="24"/>
    <tableColumn id="13" name="0,00" dataDxfId="23">
      <calculatedColumnFormula>AVERAGE(Porcentaje[[#This Row],[Tarea 1]:[Tarea 11]])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especidica" displayName="especidica" ref="A1:A10" totalsRowShown="0" headerRowDxfId="22" dataDxfId="21" tableBorderDxfId="20">
  <autoFilter ref="A1:A10"/>
  <tableColumns count="1">
    <tableColumn id="1" name="Especifica" dataDxfId="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Avance" displayName="Avance" ref="C1:C101" totalsRowShown="0" headerRowDxfId="18" dataDxfId="17">
  <autoFilter ref="C1:C101"/>
  <tableColumns count="1">
    <tableColumn id="1" name="Avance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Grafica_Avances" displayName="Grafica_Avances" ref="A1:B12" totalsRowShown="0">
  <autoFilter ref="A1:B12"/>
  <tableColumns count="2">
    <tableColumn id="1" name="Tarea" dataDxfId="15"/>
    <tableColumn id="2" name="Avanc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10"/>
  <sheetViews>
    <sheetView workbookViewId="0"/>
  </sheetViews>
  <sheetFormatPr baseColWidth="10" defaultRowHeight="12.75" x14ac:dyDescent="0.2"/>
  <cols>
    <col min="1" max="16384" width="11.42578125" style="3"/>
  </cols>
  <sheetData>
    <row r="1" spans="1:1" ht="15" x14ac:dyDescent="0.25">
      <c r="A1" s="2"/>
    </row>
    <row r="2" spans="1:1" ht="15" x14ac:dyDescent="0.25">
      <c r="A2" s="1"/>
    </row>
    <row r="3" spans="1:1" ht="15" x14ac:dyDescent="0.25">
      <c r="A3" s="1"/>
    </row>
    <row r="4" spans="1:1" ht="15" x14ac:dyDescent="0.25">
      <c r="A4" s="1"/>
    </row>
    <row r="5" spans="1:1" ht="15" x14ac:dyDescent="0.25">
      <c r="A5" s="1"/>
    </row>
    <row r="6" spans="1:1" ht="15" x14ac:dyDescent="0.25">
      <c r="A6" s="1"/>
    </row>
    <row r="7" spans="1:1" ht="15" x14ac:dyDescent="0.25">
      <c r="A7" s="1"/>
    </row>
    <row r="8" spans="1:1" ht="15" x14ac:dyDescent="0.25">
      <c r="A8" s="1"/>
    </row>
    <row r="9" spans="1:1" ht="15" x14ac:dyDescent="0.25">
      <c r="A9" s="1"/>
    </row>
    <row r="10" spans="1:1" ht="15" x14ac:dyDescent="0.25">
      <c r="A10" s="1"/>
    </row>
  </sheetData>
  <sortState ref="A2:A10">
    <sortCondition ref="A1"/>
  </sortState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8"/>
  <sheetViews>
    <sheetView showGridLines="0" tabSelected="1" workbookViewId="0">
      <selection activeCell="A5" sqref="A2:I8"/>
    </sheetView>
  </sheetViews>
  <sheetFormatPr baseColWidth="10" defaultRowHeight="15" x14ac:dyDescent="0.25"/>
  <cols>
    <col min="1" max="1" width="8.85546875" style="26" customWidth="1"/>
    <col min="2" max="2" width="28.7109375" bestFit="1" customWidth="1"/>
    <col min="3" max="3" width="25.7109375" customWidth="1"/>
    <col min="4" max="4" width="23.85546875" bestFit="1" customWidth="1"/>
    <col min="5" max="5" width="18.28515625" customWidth="1"/>
    <col min="6" max="6" width="19.42578125" customWidth="1"/>
    <col min="7" max="7" width="13.140625" bestFit="1" customWidth="1"/>
    <col min="9" max="9" width="11.42578125" customWidth="1"/>
  </cols>
  <sheetData>
    <row r="1" spans="1:9" s="18" customFormat="1" ht="30" customHeight="1" x14ac:dyDescent="0.25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37" t="s">
        <v>47</v>
      </c>
    </row>
    <row r="2" spans="1:9" x14ac:dyDescent="0.25">
      <c r="A2" s="23">
        <v>1</v>
      </c>
      <c r="B2" s="7" t="s">
        <v>9</v>
      </c>
      <c r="C2" s="8" t="s">
        <v>10</v>
      </c>
      <c r="D2" s="8" t="s">
        <v>11</v>
      </c>
      <c r="E2" s="9">
        <v>42316</v>
      </c>
      <c r="F2" s="9">
        <v>42016</v>
      </c>
      <c r="G2" s="10">
        <v>725000</v>
      </c>
      <c r="H2" s="31">
        <v>9</v>
      </c>
      <c r="I2" s="13">
        <f>Porcentaje[[#This Row],[0,00]]/100</f>
        <v>0.2722222222222222</v>
      </c>
    </row>
    <row r="3" spans="1:9" x14ac:dyDescent="0.25">
      <c r="A3" s="23">
        <v>2</v>
      </c>
      <c r="B3" s="8" t="s">
        <v>12</v>
      </c>
      <c r="C3" s="8" t="s">
        <v>13</v>
      </c>
      <c r="D3" s="8" t="s">
        <v>14</v>
      </c>
      <c r="E3" s="12">
        <v>42332</v>
      </c>
      <c r="F3" s="9">
        <v>42339</v>
      </c>
      <c r="G3" s="10">
        <v>1000000</v>
      </c>
      <c r="H3" s="31">
        <v>11</v>
      </c>
      <c r="I3" s="13">
        <f>Porcentaje[[#This Row],[0,00]]/100</f>
        <v>0.32272727272727275</v>
      </c>
    </row>
    <row r="4" spans="1:9" x14ac:dyDescent="0.25">
      <c r="A4" s="23">
        <v>3</v>
      </c>
      <c r="B4" s="8" t="s">
        <v>15</v>
      </c>
      <c r="C4" s="8" t="s">
        <v>25</v>
      </c>
      <c r="D4" s="8" t="s">
        <v>17</v>
      </c>
      <c r="E4" s="12">
        <v>42332</v>
      </c>
      <c r="F4" s="9">
        <v>42205</v>
      </c>
      <c r="G4" s="8">
        <v>145000</v>
      </c>
      <c r="H4" s="31">
        <v>8</v>
      </c>
      <c r="I4" s="13">
        <f>Porcentaje[[#This Row],[0,00]]/100</f>
        <v>0.3</v>
      </c>
    </row>
    <row r="5" spans="1:9" x14ac:dyDescent="0.25">
      <c r="A5" s="24">
        <v>4</v>
      </c>
      <c r="B5" s="8" t="s">
        <v>18</v>
      </c>
      <c r="C5" s="8" t="s">
        <v>19</v>
      </c>
      <c r="D5" s="8" t="s">
        <v>20</v>
      </c>
      <c r="E5" s="12">
        <v>42332</v>
      </c>
      <c r="F5" s="9">
        <v>42339</v>
      </c>
      <c r="G5" s="8">
        <v>165000</v>
      </c>
      <c r="H5" s="31">
        <v>4</v>
      </c>
      <c r="I5" s="13">
        <f>Porcentaje[[#This Row],[0,00]]/100</f>
        <v>0.32500000000000001</v>
      </c>
    </row>
    <row r="6" spans="1:9" x14ac:dyDescent="0.25">
      <c r="A6" s="24">
        <v>5</v>
      </c>
      <c r="B6" s="8" t="s">
        <v>21</v>
      </c>
      <c r="C6" s="8" t="s">
        <v>16</v>
      </c>
      <c r="D6" s="8" t="s">
        <v>22</v>
      </c>
      <c r="E6" s="9">
        <v>42227</v>
      </c>
      <c r="F6" s="9">
        <v>42339</v>
      </c>
      <c r="G6" s="8" t="s">
        <v>23</v>
      </c>
      <c r="H6" s="31" t="s">
        <v>24</v>
      </c>
      <c r="I6" s="13">
        <f>Porcentaje[[#This Row],[0,00]]/100</f>
        <v>0.26</v>
      </c>
    </row>
    <row r="7" spans="1:9" x14ac:dyDescent="0.25">
      <c r="A7" s="25">
        <v>6</v>
      </c>
      <c r="B7" s="11" t="s">
        <v>32</v>
      </c>
      <c r="C7" s="11" t="s">
        <v>33</v>
      </c>
      <c r="D7" s="11" t="s">
        <v>34</v>
      </c>
      <c r="E7" s="12">
        <v>42332</v>
      </c>
      <c r="F7" s="12">
        <v>42338</v>
      </c>
      <c r="G7" s="11" t="s">
        <v>35</v>
      </c>
      <c r="H7" s="32">
        <v>8</v>
      </c>
      <c r="I7" s="14" t="s">
        <v>61</v>
      </c>
    </row>
    <row r="8" spans="1:9" x14ac:dyDescent="0.25">
      <c r="A8" s="25">
        <v>7</v>
      </c>
      <c r="B8" s="36" t="s">
        <v>56</v>
      </c>
      <c r="C8" s="11" t="s">
        <v>67</v>
      </c>
      <c r="D8" s="11" t="s">
        <v>68</v>
      </c>
      <c r="E8" s="12">
        <v>42328</v>
      </c>
      <c r="F8" s="12">
        <v>42339</v>
      </c>
      <c r="G8" s="11">
        <v>125000</v>
      </c>
      <c r="H8" s="32">
        <v>6</v>
      </c>
      <c r="I8" s="14">
        <f>Porcentaje[[#This Row],[0,00]]/100</f>
        <v>0.13333333333333333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10</xdr:col>
                <xdr:colOff>457200</xdr:colOff>
                <xdr:row>9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"/>
  <sheetViews>
    <sheetView workbookViewId="0">
      <selection activeCell="A2" sqref="A2:L8"/>
    </sheetView>
  </sheetViews>
  <sheetFormatPr baseColWidth="10" defaultRowHeight="15" x14ac:dyDescent="0.25"/>
  <cols>
    <col min="1" max="1" width="8.85546875" style="29" customWidth="1"/>
    <col min="2" max="2" width="14.5703125" customWidth="1"/>
    <col min="3" max="3" width="16.7109375" customWidth="1"/>
    <col min="4" max="4" width="16.42578125" customWidth="1"/>
    <col min="5" max="5" width="16.5703125" customWidth="1"/>
    <col min="6" max="6" width="16.28515625" customWidth="1"/>
    <col min="7" max="7" width="16.7109375" customWidth="1"/>
    <col min="8" max="8" width="16.140625" customWidth="1"/>
    <col min="9" max="9" width="19.28515625" customWidth="1"/>
    <col min="10" max="11" width="17.28515625" customWidth="1"/>
    <col min="12" max="12" width="13.28515625" customWidth="1"/>
  </cols>
  <sheetData>
    <row r="1" spans="1:12" s="19" customFormat="1" ht="30.75" customHeight="1" x14ac:dyDescent="0.25">
      <c r="A1" s="27" t="s">
        <v>48</v>
      </c>
      <c r="B1" s="19" t="s">
        <v>62</v>
      </c>
      <c r="C1" s="19" t="s">
        <v>66</v>
      </c>
      <c r="D1" s="19" t="s">
        <v>64</v>
      </c>
      <c r="E1" s="19" t="s">
        <v>65</v>
      </c>
      <c r="F1" s="19" t="s">
        <v>24</v>
      </c>
      <c r="G1" s="19" t="s">
        <v>63</v>
      </c>
      <c r="H1" s="19" t="s">
        <v>60</v>
      </c>
      <c r="I1" s="19" t="s">
        <v>57</v>
      </c>
      <c r="J1" s="19" t="s">
        <v>58</v>
      </c>
      <c r="K1" s="19" t="s">
        <v>59</v>
      </c>
      <c r="L1" s="19" t="s">
        <v>46</v>
      </c>
    </row>
    <row r="2" spans="1:12" s="6" customFormat="1" x14ac:dyDescent="0.25">
      <c r="A2" s="28">
        <v>1</v>
      </c>
      <c r="B2" s="16" t="s">
        <v>36</v>
      </c>
      <c r="C2" s="16" t="s">
        <v>36</v>
      </c>
      <c r="D2" s="16" t="s">
        <v>36</v>
      </c>
      <c r="E2" s="16" t="s">
        <v>36</v>
      </c>
      <c r="F2" s="16" t="s">
        <v>36</v>
      </c>
      <c r="G2" s="16" t="s">
        <v>36</v>
      </c>
      <c r="H2" s="16" t="s">
        <v>36</v>
      </c>
      <c r="I2" s="16" t="s">
        <v>36</v>
      </c>
      <c r="J2" s="16" t="s">
        <v>36</v>
      </c>
      <c r="K2" s="30"/>
      <c r="L2" s="30"/>
    </row>
    <row r="3" spans="1:12" x14ac:dyDescent="0.25">
      <c r="A3" s="28">
        <v>2</v>
      </c>
      <c r="B3" s="16" t="s">
        <v>37</v>
      </c>
      <c r="C3" s="16" t="s">
        <v>37</v>
      </c>
      <c r="D3" s="16" t="s">
        <v>37</v>
      </c>
      <c r="E3" s="16" t="s">
        <v>37</v>
      </c>
      <c r="F3" s="16" t="s">
        <v>37</v>
      </c>
      <c r="G3" s="16" t="s">
        <v>37</v>
      </c>
      <c r="H3" s="16" t="s">
        <v>37</v>
      </c>
      <c r="I3" s="16" t="s">
        <v>36</v>
      </c>
      <c r="J3" s="16" t="s">
        <v>36</v>
      </c>
      <c r="K3" s="16" t="s">
        <v>36</v>
      </c>
      <c r="L3" s="16" t="s">
        <v>36</v>
      </c>
    </row>
    <row r="4" spans="1:12" x14ac:dyDescent="0.25">
      <c r="A4" s="28">
        <v>3</v>
      </c>
      <c r="B4" s="16" t="s">
        <v>38</v>
      </c>
      <c r="C4" s="16" t="s">
        <v>38</v>
      </c>
      <c r="D4" s="16" t="s">
        <v>38</v>
      </c>
      <c r="E4" s="16" t="s">
        <v>38</v>
      </c>
      <c r="F4" s="16" t="s">
        <v>38</v>
      </c>
      <c r="G4" s="16" t="s">
        <v>38</v>
      </c>
      <c r="H4" s="16" t="s">
        <v>38</v>
      </c>
      <c r="I4" s="16" t="s">
        <v>38</v>
      </c>
      <c r="J4" s="30"/>
      <c r="K4" s="30"/>
      <c r="L4" s="30"/>
    </row>
    <row r="5" spans="1:12" x14ac:dyDescent="0.25">
      <c r="A5" s="28">
        <v>4</v>
      </c>
      <c r="B5" s="16" t="s">
        <v>39</v>
      </c>
      <c r="C5" s="16" t="s">
        <v>39</v>
      </c>
      <c r="D5" s="16" t="s">
        <v>39</v>
      </c>
      <c r="E5" s="16" t="s">
        <v>39</v>
      </c>
      <c r="F5" s="16"/>
      <c r="G5" s="16"/>
      <c r="H5" s="16"/>
      <c r="I5" s="16"/>
      <c r="J5" s="16"/>
      <c r="K5" s="16"/>
      <c r="L5" s="16"/>
    </row>
    <row r="6" spans="1:12" x14ac:dyDescent="0.25">
      <c r="A6" s="28">
        <v>5</v>
      </c>
      <c r="B6" s="16" t="s">
        <v>40</v>
      </c>
      <c r="C6" s="16" t="s">
        <v>40</v>
      </c>
      <c r="D6" s="16" t="s">
        <v>40</v>
      </c>
      <c r="E6" s="16" t="s">
        <v>40</v>
      </c>
      <c r="F6" s="16" t="s">
        <v>40</v>
      </c>
      <c r="G6" s="16" t="s">
        <v>40</v>
      </c>
      <c r="H6" s="16" t="s">
        <v>40</v>
      </c>
      <c r="I6" s="16" t="s">
        <v>40</v>
      </c>
      <c r="J6" s="16" t="s">
        <v>40</v>
      </c>
      <c r="K6" s="16" t="s">
        <v>40</v>
      </c>
      <c r="L6" s="16"/>
    </row>
    <row r="7" spans="1:12" x14ac:dyDescent="0.25">
      <c r="A7" s="28">
        <v>6</v>
      </c>
      <c r="B7" s="16" t="s">
        <v>41</v>
      </c>
      <c r="C7" s="16" t="s">
        <v>41</v>
      </c>
      <c r="D7" s="16" t="s">
        <v>41</v>
      </c>
      <c r="E7" s="16" t="s">
        <v>41</v>
      </c>
      <c r="F7" s="16" t="s">
        <v>41</v>
      </c>
      <c r="G7" s="16" t="s">
        <v>41</v>
      </c>
      <c r="H7" s="16" t="s">
        <v>41</v>
      </c>
      <c r="I7" s="16" t="s">
        <v>41</v>
      </c>
      <c r="J7" s="16"/>
      <c r="K7" s="16"/>
      <c r="L7" s="16"/>
    </row>
    <row r="8" spans="1:12" x14ac:dyDescent="0.25">
      <c r="A8" s="28">
        <v>7</v>
      </c>
      <c r="B8" s="16" t="s">
        <v>42</v>
      </c>
      <c r="C8" s="16" t="s">
        <v>42</v>
      </c>
      <c r="D8" s="16" t="s">
        <v>42</v>
      </c>
      <c r="E8" s="16" t="s">
        <v>42</v>
      </c>
      <c r="F8" s="16" t="s">
        <v>42</v>
      </c>
      <c r="G8" s="16" t="s">
        <v>42</v>
      </c>
      <c r="H8" s="16"/>
      <c r="I8" s="16"/>
      <c r="J8" s="16"/>
      <c r="K8" s="16"/>
      <c r="L8" s="1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8"/>
  <sheetViews>
    <sheetView workbookViewId="0">
      <selection activeCell="A2" sqref="A2:M8"/>
    </sheetView>
  </sheetViews>
  <sheetFormatPr baseColWidth="10" defaultRowHeight="15" x14ac:dyDescent="0.25"/>
  <cols>
    <col min="1" max="1" width="28.7109375" bestFit="1" customWidth="1"/>
    <col min="13" max="13" width="11.85546875" style="34" bestFit="1" customWidth="1"/>
  </cols>
  <sheetData>
    <row r="1" spans="1:13" s="17" customFormat="1" ht="27.75" customHeight="1" x14ac:dyDescent="0.25">
      <c r="A1" s="17" t="s">
        <v>48</v>
      </c>
      <c r="B1" s="17" t="s">
        <v>36</v>
      </c>
      <c r="C1" s="17" t="s">
        <v>37</v>
      </c>
      <c r="D1" s="17" t="s">
        <v>38</v>
      </c>
      <c r="E1" s="17" t="s">
        <v>39</v>
      </c>
      <c r="F1" s="17" t="s">
        <v>40</v>
      </c>
      <c r="G1" s="17" t="s">
        <v>41</v>
      </c>
      <c r="H1" s="17" t="s">
        <v>42</v>
      </c>
      <c r="I1" s="17" t="s">
        <v>43</v>
      </c>
      <c r="J1" s="17" t="s">
        <v>44</v>
      </c>
      <c r="K1" s="17" t="s">
        <v>45</v>
      </c>
      <c r="L1" s="17" t="s">
        <v>46</v>
      </c>
      <c r="M1" s="33" t="s">
        <v>47</v>
      </c>
    </row>
    <row r="2" spans="1:13" s="15" customFormat="1" x14ac:dyDescent="0.25">
      <c r="A2" s="15" t="str">
        <f>Tabla2[[#This Row],[Proyecto]]</f>
        <v>Arquitectura de PC</v>
      </c>
      <c r="B2" s="15">
        <v>10</v>
      </c>
      <c r="C2" s="15">
        <v>25</v>
      </c>
      <c r="D2" s="15">
        <v>40</v>
      </c>
      <c r="E2" s="15">
        <v>70</v>
      </c>
      <c r="F2" s="15">
        <v>50</v>
      </c>
      <c r="G2" s="15">
        <v>20</v>
      </c>
      <c r="H2" s="15">
        <v>10</v>
      </c>
      <c r="I2" s="15">
        <v>10</v>
      </c>
      <c r="J2" s="15">
        <v>10</v>
      </c>
      <c r="M2" s="35">
        <f>AVERAGE(Porcentaje[[#This Row],[Tarea 1]:[Tarea 11]])</f>
        <v>27.222222222222221</v>
      </c>
    </row>
    <row r="3" spans="1:13" x14ac:dyDescent="0.25">
      <c r="A3" s="15" t="str">
        <f>Tabla2[[#This Row],[Proyecto]]</f>
        <v>Creatividad y Emprenndedores</v>
      </c>
      <c r="B3" s="15">
        <v>65</v>
      </c>
      <c r="C3" s="15">
        <v>25</v>
      </c>
      <c r="D3" s="15">
        <v>40</v>
      </c>
      <c r="E3" s="15">
        <v>70</v>
      </c>
      <c r="F3" s="15">
        <v>50</v>
      </c>
      <c r="G3" s="15">
        <v>20</v>
      </c>
      <c r="H3" s="15">
        <v>25</v>
      </c>
      <c r="I3" s="15">
        <v>20</v>
      </c>
      <c r="J3" s="15">
        <v>20</v>
      </c>
      <c r="K3" s="15">
        <v>10</v>
      </c>
      <c r="L3" s="15">
        <v>10</v>
      </c>
      <c r="M3" s="35">
        <f>AVERAGE(Porcentaje[[#This Row],[Tarea 1]:[Tarea 11]])</f>
        <v>32.272727272727273</v>
      </c>
    </row>
    <row r="4" spans="1:13" x14ac:dyDescent="0.25">
      <c r="A4" s="15" t="str">
        <f>Tabla2[[#This Row],[Proyecto]]</f>
        <v>Inteligencia Artificial I</v>
      </c>
      <c r="B4" s="15">
        <v>10</v>
      </c>
      <c r="C4" s="15">
        <v>25</v>
      </c>
      <c r="D4" s="15">
        <v>10</v>
      </c>
      <c r="E4" s="15">
        <v>70</v>
      </c>
      <c r="F4" s="15">
        <v>50</v>
      </c>
      <c r="G4" s="15">
        <v>50</v>
      </c>
      <c r="H4" s="15">
        <v>15</v>
      </c>
      <c r="I4" s="15">
        <v>10</v>
      </c>
      <c r="J4" s="15"/>
      <c r="K4" s="15"/>
      <c r="L4" s="15"/>
      <c r="M4" s="35">
        <f>AVERAGE(Porcentaje[[#This Row],[Tarea 1]:[Tarea 11]])</f>
        <v>30</v>
      </c>
    </row>
    <row r="5" spans="1:13" x14ac:dyDescent="0.25">
      <c r="A5" s="15" t="str">
        <f>Tabla2[[#This Row],[Proyecto]]</f>
        <v>Administracion de Calidad</v>
      </c>
      <c r="B5" s="15">
        <v>40</v>
      </c>
      <c r="C5" s="15">
        <v>25</v>
      </c>
      <c r="D5" s="15">
        <v>40</v>
      </c>
      <c r="E5" s="15">
        <v>25</v>
      </c>
      <c r="F5" s="15"/>
      <c r="G5" s="15"/>
      <c r="H5" s="15"/>
      <c r="I5" s="15"/>
      <c r="J5" s="15"/>
      <c r="K5" s="15"/>
      <c r="L5" s="15"/>
      <c r="M5" s="35">
        <f>AVERAGE(Porcentaje[[#This Row],[Tarea 1]:[Tarea 11]])</f>
        <v>32.5</v>
      </c>
    </row>
    <row r="6" spans="1:13" x14ac:dyDescent="0.25">
      <c r="A6" s="15" t="str">
        <f>Tabla2[[#This Row],[Proyecto]]</f>
        <v>organizacion Computacional</v>
      </c>
      <c r="B6" s="15">
        <v>10</v>
      </c>
      <c r="C6" s="15">
        <v>20</v>
      </c>
      <c r="D6" s="15">
        <v>30</v>
      </c>
      <c r="E6" s="15">
        <v>65</v>
      </c>
      <c r="F6" s="15">
        <v>50</v>
      </c>
      <c r="G6" s="15">
        <v>10</v>
      </c>
      <c r="H6" s="15">
        <v>30</v>
      </c>
      <c r="I6" s="15">
        <v>20</v>
      </c>
      <c r="J6" s="15">
        <v>15</v>
      </c>
      <c r="K6" s="15">
        <v>10</v>
      </c>
      <c r="L6" s="15"/>
      <c r="M6" s="35">
        <f>AVERAGE(Porcentaje[[#This Row],[Tarea 1]:[Tarea 11]])</f>
        <v>26</v>
      </c>
    </row>
    <row r="7" spans="1:13" x14ac:dyDescent="0.25">
      <c r="A7" s="15" t="str">
        <f>Tabla2[[#This Row],[Proyecto]]</f>
        <v>Matematicas Financieras</v>
      </c>
      <c r="B7" s="15">
        <v>50</v>
      </c>
      <c r="C7" s="15">
        <v>25</v>
      </c>
      <c r="D7" s="15">
        <v>40</v>
      </c>
      <c r="E7" s="15">
        <v>70</v>
      </c>
      <c r="F7" s="15">
        <v>50</v>
      </c>
      <c r="G7" s="15">
        <v>20</v>
      </c>
      <c r="H7" s="15">
        <v>10</v>
      </c>
      <c r="I7" s="15">
        <v>10</v>
      </c>
      <c r="J7" s="15"/>
      <c r="K7" s="15"/>
      <c r="L7" s="15"/>
      <c r="M7" s="35">
        <f>AVERAGE(Porcentaje[[#This Row],[Tarea 1]:[Tarea 11]])</f>
        <v>34.375</v>
      </c>
    </row>
    <row r="8" spans="1:13" x14ac:dyDescent="0.25">
      <c r="A8" s="15" t="str">
        <f>Tabla2[[#This Row],[Proyecto]]</f>
        <v>Bases de Datos</v>
      </c>
      <c r="B8" s="15">
        <v>20</v>
      </c>
      <c r="C8" s="15">
        <v>20</v>
      </c>
      <c r="D8" s="15">
        <v>10</v>
      </c>
      <c r="E8" s="15">
        <v>10</v>
      </c>
      <c r="F8" s="15">
        <v>10</v>
      </c>
      <c r="G8" s="15">
        <v>10</v>
      </c>
      <c r="H8" s="15"/>
      <c r="I8" s="15"/>
      <c r="J8" s="15"/>
      <c r="K8" s="15"/>
      <c r="L8" s="15"/>
      <c r="M8" s="57">
        <f>AVERAGE(Porcentaje[[#This Row],[Tarea 1]:[Tarea 11]])</f>
        <v>13.333333333333334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01"/>
  <sheetViews>
    <sheetView topLeftCell="A2" workbookViewId="0">
      <selection activeCell="C2" sqref="C2:C101"/>
    </sheetView>
  </sheetViews>
  <sheetFormatPr baseColWidth="10" defaultRowHeight="15" x14ac:dyDescent="0.25"/>
  <cols>
    <col min="1" max="1" width="13.28515625" bestFit="1" customWidth="1"/>
  </cols>
  <sheetData>
    <row r="1" spans="1:3" s="19" customFormat="1" ht="30" customHeight="1" x14ac:dyDescent="0.25">
      <c r="A1" s="19" t="s">
        <v>26</v>
      </c>
      <c r="C1" s="20" t="s">
        <v>8</v>
      </c>
    </row>
    <row r="2" spans="1:3" x14ac:dyDescent="0.25">
      <c r="A2" s="4" t="s">
        <v>0</v>
      </c>
      <c r="C2" s="6">
        <v>1</v>
      </c>
    </row>
    <row r="3" spans="1:3" x14ac:dyDescent="0.25">
      <c r="A3" s="4" t="s">
        <v>1</v>
      </c>
      <c r="C3" s="6">
        <v>2</v>
      </c>
    </row>
    <row r="4" spans="1:3" x14ac:dyDescent="0.25">
      <c r="A4" s="4" t="s">
        <v>27</v>
      </c>
      <c r="C4" s="6">
        <v>3</v>
      </c>
    </row>
    <row r="5" spans="1:3" x14ac:dyDescent="0.25">
      <c r="A5" s="4" t="s">
        <v>28</v>
      </c>
      <c r="C5" s="6">
        <v>4</v>
      </c>
    </row>
    <row r="6" spans="1:3" x14ac:dyDescent="0.25">
      <c r="A6" s="4" t="s">
        <v>29</v>
      </c>
      <c r="C6" s="6">
        <v>5</v>
      </c>
    </row>
    <row r="7" spans="1:3" x14ac:dyDescent="0.25">
      <c r="A7" s="4" t="s">
        <v>30</v>
      </c>
      <c r="C7" s="6">
        <v>6</v>
      </c>
    </row>
    <row r="8" spans="1:3" x14ac:dyDescent="0.25">
      <c r="A8" s="4" t="s">
        <v>6</v>
      </c>
      <c r="C8" s="6">
        <v>7</v>
      </c>
    </row>
    <row r="9" spans="1:3" x14ac:dyDescent="0.25">
      <c r="A9" s="4" t="s">
        <v>31</v>
      </c>
      <c r="C9" s="6">
        <v>8</v>
      </c>
    </row>
    <row r="10" spans="1:3" x14ac:dyDescent="0.25">
      <c r="A10" s="5" t="s">
        <v>8</v>
      </c>
      <c r="C10" s="6">
        <v>9</v>
      </c>
    </row>
    <row r="11" spans="1:3" x14ac:dyDescent="0.25">
      <c r="C11" s="6">
        <v>10</v>
      </c>
    </row>
    <row r="12" spans="1:3" x14ac:dyDescent="0.25">
      <c r="C12" s="6">
        <v>11</v>
      </c>
    </row>
    <row r="13" spans="1:3" x14ac:dyDescent="0.25">
      <c r="C13" s="6">
        <v>12</v>
      </c>
    </row>
    <row r="14" spans="1:3" x14ac:dyDescent="0.25">
      <c r="C14" s="6">
        <v>13</v>
      </c>
    </row>
    <row r="15" spans="1:3" x14ac:dyDescent="0.25">
      <c r="C15" s="6">
        <v>14</v>
      </c>
    </row>
    <row r="16" spans="1:3" x14ac:dyDescent="0.25">
      <c r="C16" s="6">
        <v>15</v>
      </c>
    </row>
    <row r="17" spans="3:3" x14ac:dyDescent="0.25">
      <c r="C17" s="6">
        <v>16</v>
      </c>
    </row>
    <row r="18" spans="3:3" x14ac:dyDescent="0.25">
      <c r="C18" s="6">
        <v>17</v>
      </c>
    </row>
    <row r="19" spans="3:3" x14ac:dyDescent="0.25">
      <c r="C19" s="6">
        <v>18</v>
      </c>
    </row>
    <row r="20" spans="3:3" x14ac:dyDescent="0.25">
      <c r="C20" s="6">
        <v>19</v>
      </c>
    </row>
    <row r="21" spans="3:3" x14ac:dyDescent="0.25">
      <c r="C21" s="6">
        <v>20</v>
      </c>
    </row>
    <row r="22" spans="3:3" x14ac:dyDescent="0.25">
      <c r="C22" s="6">
        <v>21</v>
      </c>
    </row>
    <row r="23" spans="3:3" x14ac:dyDescent="0.25">
      <c r="C23" s="6">
        <v>22</v>
      </c>
    </row>
    <row r="24" spans="3:3" x14ac:dyDescent="0.25">
      <c r="C24" s="6">
        <v>23</v>
      </c>
    </row>
    <row r="25" spans="3:3" x14ac:dyDescent="0.25">
      <c r="C25" s="6">
        <v>24</v>
      </c>
    </row>
    <row r="26" spans="3:3" x14ac:dyDescent="0.25">
      <c r="C26" s="6">
        <v>25</v>
      </c>
    </row>
    <row r="27" spans="3:3" x14ac:dyDescent="0.25">
      <c r="C27" s="6">
        <v>26</v>
      </c>
    </row>
    <row r="28" spans="3:3" x14ac:dyDescent="0.25">
      <c r="C28" s="6">
        <v>27</v>
      </c>
    </row>
    <row r="29" spans="3:3" x14ac:dyDescent="0.25">
      <c r="C29" s="6">
        <v>28</v>
      </c>
    </row>
    <row r="30" spans="3:3" x14ac:dyDescent="0.25">
      <c r="C30" s="6">
        <v>29</v>
      </c>
    </row>
    <row r="31" spans="3:3" x14ac:dyDescent="0.25">
      <c r="C31" s="6">
        <v>30</v>
      </c>
    </row>
    <row r="32" spans="3:3" x14ac:dyDescent="0.25">
      <c r="C32" s="6">
        <v>31</v>
      </c>
    </row>
    <row r="33" spans="3:3" x14ac:dyDescent="0.25">
      <c r="C33" s="6">
        <v>32</v>
      </c>
    </row>
    <row r="34" spans="3:3" x14ac:dyDescent="0.25">
      <c r="C34" s="6">
        <v>33</v>
      </c>
    </row>
    <row r="35" spans="3:3" x14ac:dyDescent="0.25">
      <c r="C35" s="6">
        <v>34</v>
      </c>
    </row>
    <row r="36" spans="3:3" x14ac:dyDescent="0.25">
      <c r="C36" s="6">
        <v>35</v>
      </c>
    </row>
    <row r="37" spans="3:3" x14ac:dyDescent="0.25">
      <c r="C37" s="6">
        <v>36</v>
      </c>
    </row>
    <row r="38" spans="3:3" x14ac:dyDescent="0.25">
      <c r="C38" s="6">
        <v>37</v>
      </c>
    </row>
    <row r="39" spans="3:3" x14ac:dyDescent="0.25">
      <c r="C39" s="6">
        <v>38</v>
      </c>
    </row>
    <row r="40" spans="3:3" x14ac:dyDescent="0.25">
      <c r="C40" s="6">
        <v>39</v>
      </c>
    </row>
    <row r="41" spans="3:3" x14ac:dyDescent="0.25">
      <c r="C41" s="6">
        <v>40</v>
      </c>
    </row>
    <row r="42" spans="3:3" x14ac:dyDescent="0.25">
      <c r="C42" s="6">
        <v>41</v>
      </c>
    </row>
    <row r="43" spans="3:3" x14ac:dyDescent="0.25">
      <c r="C43" s="6">
        <v>42</v>
      </c>
    </row>
    <row r="44" spans="3:3" x14ac:dyDescent="0.25">
      <c r="C44" s="6">
        <v>43</v>
      </c>
    </row>
    <row r="45" spans="3:3" x14ac:dyDescent="0.25">
      <c r="C45" s="6">
        <v>44</v>
      </c>
    </row>
    <row r="46" spans="3:3" x14ac:dyDescent="0.25">
      <c r="C46" s="6">
        <v>45</v>
      </c>
    </row>
    <row r="47" spans="3:3" x14ac:dyDescent="0.25">
      <c r="C47" s="6">
        <v>46</v>
      </c>
    </row>
    <row r="48" spans="3:3" x14ac:dyDescent="0.25">
      <c r="C48" s="6">
        <v>47</v>
      </c>
    </row>
    <row r="49" spans="3:3" x14ac:dyDescent="0.25">
      <c r="C49" s="6">
        <v>48</v>
      </c>
    </row>
    <row r="50" spans="3:3" x14ac:dyDescent="0.25">
      <c r="C50" s="6">
        <v>49</v>
      </c>
    </row>
    <row r="51" spans="3:3" x14ac:dyDescent="0.25">
      <c r="C51" s="6">
        <v>50</v>
      </c>
    </row>
    <row r="52" spans="3:3" x14ac:dyDescent="0.25">
      <c r="C52" s="6">
        <v>51</v>
      </c>
    </row>
    <row r="53" spans="3:3" x14ac:dyDescent="0.25">
      <c r="C53" s="6">
        <v>52</v>
      </c>
    </row>
    <row r="54" spans="3:3" x14ac:dyDescent="0.25">
      <c r="C54" s="6">
        <v>53</v>
      </c>
    </row>
    <row r="55" spans="3:3" x14ac:dyDescent="0.25">
      <c r="C55" s="6">
        <v>54</v>
      </c>
    </row>
    <row r="56" spans="3:3" x14ac:dyDescent="0.25">
      <c r="C56" s="6">
        <v>55</v>
      </c>
    </row>
    <row r="57" spans="3:3" x14ac:dyDescent="0.25">
      <c r="C57" s="6">
        <v>56</v>
      </c>
    </row>
    <row r="58" spans="3:3" x14ac:dyDescent="0.25">
      <c r="C58" s="6">
        <v>57</v>
      </c>
    </row>
    <row r="59" spans="3:3" x14ac:dyDescent="0.25">
      <c r="C59" s="6">
        <v>58</v>
      </c>
    </row>
    <row r="60" spans="3:3" x14ac:dyDescent="0.25">
      <c r="C60" s="6">
        <v>59</v>
      </c>
    </row>
    <row r="61" spans="3:3" x14ac:dyDescent="0.25">
      <c r="C61" s="6">
        <v>60</v>
      </c>
    </row>
    <row r="62" spans="3:3" x14ac:dyDescent="0.25">
      <c r="C62" s="6">
        <v>61</v>
      </c>
    </row>
    <row r="63" spans="3:3" x14ac:dyDescent="0.25">
      <c r="C63" s="6">
        <v>62</v>
      </c>
    </row>
    <row r="64" spans="3:3" x14ac:dyDescent="0.25">
      <c r="C64" s="6">
        <v>63</v>
      </c>
    </row>
    <row r="65" spans="3:3" x14ac:dyDescent="0.25">
      <c r="C65" s="6">
        <v>64</v>
      </c>
    </row>
    <row r="66" spans="3:3" x14ac:dyDescent="0.25">
      <c r="C66" s="6">
        <v>65</v>
      </c>
    </row>
    <row r="67" spans="3:3" x14ac:dyDescent="0.25">
      <c r="C67" s="6">
        <v>66</v>
      </c>
    </row>
    <row r="68" spans="3:3" x14ac:dyDescent="0.25">
      <c r="C68" s="6">
        <v>67</v>
      </c>
    </row>
    <row r="69" spans="3:3" x14ac:dyDescent="0.25">
      <c r="C69" s="6">
        <v>68</v>
      </c>
    </row>
    <row r="70" spans="3:3" x14ac:dyDescent="0.25">
      <c r="C70" s="6">
        <v>69</v>
      </c>
    </row>
    <row r="71" spans="3:3" x14ac:dyDescent="0.25">
      <c r="C71" s="6">
        <v>70</v>
      </c>
    </row>
    <row r="72" spans="3:3" x14ac:dyDescent="0.25">
      <c r="C72" s="6">
        <v>71</v>
      </c>
    </row>
    <row r="73" spans="3:3" x14ac:dyDescent="0.25">
      <c r="C73" s="6">
        <v>72</v>
      </c>
    </row>
    <row r="74" spans="3:3" x14ac:dyDescent="0.25">
      <c r="C74" s="6">
        <v>73</v>
      </c>
    </row>
    <row r="75" spans="3:3" x14ac:dyDescent="0.25">
      <c r="C75" s="6">
        <v>74</v>
      </c>
    </row>
    <row r="76" spans="3:3" x14ac:dyDescent="0.25">
      <c r="C76" s="6">
        <v>75</v>
      </c>
    </row>
    <row r="77" spans="3:3" x14ac:dyDescent="0.25">
      <c r="C77" s="6">
        <v>76</v>
      </c>
    </row>
    <row r="78" spans="3:3" x14ac:dyDescent="0.25">
      <c r="C78" s="6">
        <v>77</v>
      </c>
    </row>
    <row r="79" spans="3:3" x14ac:dyDescent="0.25">
      <c r="C79" s="6">
        <v>78</v>
      </c>
    </row>
    <row r="80" spans="3:3" x14ac:dyDescent="0.25">
      <c r="C80" s="6">
        <v>79</v>
      </c>
    </row>
    <row r="81" spans="3:3" x14ac:dyDescent="0.25">
      <c r="C81" s="6">
        <v>80</v>
      </c>
    </row>
    <row r="82" spans="3:3" x14ac:dyDescent="0.25">
      <c r="C82" s="6">
        <v>81</v>
      </c>
    </row>
    <row r="83" spans="3:3" x14ac:dyDescent="0.25">
      <c r="C83" s="6">
        <v>82</v>
      </c>
    </row>
    <row r="84" spans="3:3" x14ac:dyDescent="0.25">
      <c r="C84" s="6">
        <v>83</v>
      </c>
    </row>
    <row r="85" spans="3:3" x14ac:dyDescent="0.25">
      <c r="C85" s="6">
        <v>84</v>
      </c>
    </row>
    <row r="86" spans="3:3" x14ac:dyDescent="0.25">
      <c r="C86" s="6">
        <v>85</v>
      </c>
    </row>
    <row r="87" spans="3:3" x14ac:dyDescent="0.25">
      <c r="C87" s="6">
        <v>86</v>
      </c>
    </row>
    <row r="88" spans="3:3" x14ac:dyDescent="0.25">
      <c r="C88" s="6">
        <v>87</v>
      </c>
    </row>
    <row r="89" spans="3:3" x14ac:dyDescent="0.25">
      <c r="C89" s="6">
        <v>88</v>
      </c>
    </row>
    <row r="90" spans="3:3" x14ac:dyDescent="0.25">
      <c r="C90" s="6">
        <v>89</v>
      </c>
    </row>
    <row r="91" spans="3:3" x14ac:dyDescent="0.25">
      <c r="C91" s="6">
        <v>90</v>
      </c>
    </row>
    <row r="92" spans="3:3" x14ac:dyDescent="0.25">
      <c r="C92" s="6">
        <v>91</v>
      </c>
    </row>
    <row r="93" spans="3:3" x14ac:dyDescent="0.25">
      <c r="C93" s="6">
        <v>92</v>
      </c>
    </row>
    <row r="94" spans="3:3" x14ac:dyDescent="0.25">
      <c r="C94" s="6">
        <v>93</v>
      </c>
    </row>
    <row r="95" spans="3:3" x14ac:dyDescent="0.25">
      <c r="C95" s="6">
        <v>94</v>
      </c>
    </row>
    <row r="96" spans="3:3" x14ac:dyDescent="0.25">
      <c r="C96" s="6">
        <v>95</v>
      </c>
    </row>
    <row r="97" spans="3:3" x14ac:dyDescent="0.25">
      <c r="C97" s="6">
        <v>96</v>
      </c>
    </row>
    <row r="98" spans="3:3" x14ac:dyDescent="0.25">
      <c r="C98" s="6">
        <v>97</v>
      </c>
    </row>
    <row r="99" spans="3:3" x14ac:dyDescent="0.25">
      <c r="C99" s="6">
        <v>98</v>
      </c>
    </row>
    <row r="100" spans="3:3" x14ac:dyDescent="0.25">
      <c r="C100" s="6">
        <v>99</v>
      </c>
    </row>
    <row r="101" spans="3:3" x14ac:dyDescent="0.25">
      <c r="C101" s="6">
        <v>100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2" sqref="A2:B12"/>
    </sheetView>
  </sheetViews>
  <sheetFormatPr baseColWidth="10" defaultRowHeight="15" x14ac:dyDescent="0.25"/>
  <cols>
    <col min="1" max="2" width="11.42578125" style="26"/>
  </cols>
  <sheetData>
    <row r="1" spans="1:2" x14ac:dyDescent="0.25">
      <c r="A1" s="26" t="s">
        <v>49</v>
      </c>
      <c r="B1" s="26" t="s">
        <v>8</v>
      </c>
    </row>
    <row r="2" spans="1:2" x14ac:dyDescent="0.25">
      <c r="A2" s="26" t="s">
        <v>36</v>
      </c>
      <c r="B2" s="38">
        <v>20</v>
      </c>
    </row>
    <row r="3" spans="1:2" x14ac:dyDescent="0.25">
      <c r="A3" s="26" t="s">
        <v>37</v>
      </c>
      <c r="B3" s="26">
        <v>20</v>
      </c>
    </row>
    <row r="4" spans="1:2" x14ac:dyDescent="0.25">
      <c r="A4" s="26" t="s">
        <v>38</v>
      </c>
      <c r="B4" s="26">
        <v>10</v>
      </c>
    </row>
    <row r="5" spans="1:2" x14ac:dyDescent="0.25">
      <c r="A5" s="26" t="s">
        <v>39</v>
      </c>
      <c r="B5" s="26">
        <v>10</v>
      </c>
    </row>
    <row r="6" spans="1:2" x14ac:dyDescent="0.25">
      <c r="A6" s="26" t="s">
        <v>40</v>
      </c>
      <c r="B6" s="26">
        <v>10</v>
      </c>
    </row>
    <row r="7" spans="1:2" x14ac:dyDescent="0.25">
      <c r="A7" s="26" t="s">
        <v>41</v>
      </c>
      <c r="B7" s="26">
        <v>10</v>
      </c>
    </row>
    <row r="8" spans="1:2" x14ac:dyDescent="0.25">
      <c r="A8" s="26" t="s">
        <v>42</v>
      </c>
    </row>
    <row r="9" spans="1:2" x14ac:dyDescent="0.25">
      <c r="A9" s="26" t="s">
        <v>43</v>
      </c>
    </row>
    <row r="10" spans="1:2" x14ac:dyDescent="0.25">
      <c r="A10" s="26" t="s">
        <v>44</v>
      </c>
    </row>
    <row r="11" spans="1:2" x14ac:dyDescent="0.25">
      <c r="A11" s="26" t="s">
        <v>45</v>
      </c>
    </row>
    <row r="12" spans="1:2" x14ac:dyDescent="0.25">
      <c r="A12" s="26" t="s">
        <v>46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O38"/>
  <sheetViews>
    <sheetView workbookViewId="0">
      <selection activeCell="J9" sqref="J9"/>
    </sheetView>
  </sheetViews>
  <sheetFormatPr baseColWidth="10" defaultRowHeight="15" x14ac:dyDescent="0.25"/>
  <cols>
    <col min="1" max="1" width="1.140625" customWidth="1"/>
    <col min="2" max="2" width="4.5703125" customWidth="1"/>
    <col min="3" max="4" width="11.42578125" style="39"/>
    <col min="5" max="5" width="45.42578125" style="50" customWidth="1"/>
    <col min="6" max="6" width="2.140625" customWidth="1"/>
    <col min="7" max="7" width="0.28515625" hidden="1" customWidth="1"/>
    <col min="8" max="8" width="7" customWidth="1"/>
  </cols>
  <sheetData>
    <row r="1" spans="2:15" ht="15.75" thickBot="1" x14ac:dyDescent="0.3"/>
    <row r="2" spans="2:15" x14ac:dyDescent="0.25">
      <c r="B2" s="40"/>
      <c r="C2" s="61" t="s">
        <v>50</v>
      </c>
      <c r="D2" s="61"/>
      <c r="E2" s="61"/>
      <c r="F2" s="61"/>
      <c r="G2" s="61"/>
      <c r="H2" s="62"/>
    </row>
    <row r="3" spans="2:15" ht="29.25" customHeight="1" x14ac:dyDescent="0.25">
      <c r="B3" s="41"/>
      <c r="C3" s="63"/>
      <c r="D3" s="63"/>
      <c r="E3" s="63"/>
      <c r="F3" s="63"/>
      <c r="G3" s="63"/>
      <c r="H3" s="64"/>
    </row>
    <row r="4" spans="2:15" ht="32.25" customHeight="1" x14ac:dyDescent="0.25">
      <c r="B4" s="41"/>
      <c r="C4" s="42"/>
      <c r="D4" s="42"/>
      <c r="E4" s="51"/>
      <c r="F4" s="43"/>
      <c r="G4" s="43"/>
      <c r="H4" s="44"/>
    </row>
    <row r="5" spans="2:15" ht="15.75" thickBot="1" x14ac:dyDescent="0.3">
      <c r="B5" s="41"/>
      <c r="C5" s="58" t="s">
        <v>51</v>
      </c>
      <c r="D5" s="58"/>
      <c r="E5" s="52" t="s">
        <v>56</v>
      </c>
      <c r="F5" s="43"/>
      <c r="G5" s="43" t="s">
        <v>9</v>
      </c>
      <c r="H5" s="44"/>
      <c r="M5" s="49"/>
      <c r="O5" s="49"/>
    </row>
    <row r="6" spans="2:15" ht="15.75" thickTop="1" x14ac:dyDescent="0.25">
      <c r="B6" s="41"/>
      <c r="C6" s="42"/>
      <c r="D6" s="42"/>
      <c r="E6" s="51"/>
      <c r="F6" s="43"/>
      <c r="G6" s="43"/>
      <c r="H6" s="44"/>
    </row>
    <row r="7" spans="2:15" ht="15.75" thickBot="1" x14ac:dyDescent="0.3">
      <c r="B7" s="41"/>
      <c r="C7" s="58" t="s">
        <v>2</v>
      </c>
      <c r="D7" s="58"/>
      <c r="E7" s="52" t="s">
        <v>67</v>
      </c>
      <c r="F7" s="43"/>
      <c r="G7" s="43"/>
      <c r="H7" s="44"/>
    </row>
    <row r="8" spans="2:15" ht="15.75" thickTop="1" x14ac:dyDescent="0.25">
      <c r="B8" s="41"/>
      <c r="C8" s="42"/>
      <c r="D8" s="42"/>
      <c r="E8" s="51"/>
      <c r="F8" s="43"/>
      <c r="G8" s="43"/>
      <c r="H8" s="44"/>
    </row>
    <row r="9" spans="2:15" ht="15.75" thickBot="1" x14ac:dyDescent="0.3">
      <c r="B9" s="41"/>
      <c r="C9" s="58" t="s">
        <v>3</v>
      </c>
      <c r="D9" s="58"/>
      <c r="E9" s="52" t="s">
        <v>68</v>
      </c>
      <c r="F9" s="43"/>
      <c r="G9" s="43"/>
      <c r="H9" s="44"/>
    </row>
    <row r="10" spans="2:15" ht="15.75" thickTop="1" x14ac:dyDescent="0.25">
      <c r="B10" s="41"/>
      <c r="C10" s="42"/>
      <c r="D10" s="42"/>
      <c r="E10" s="51"/>
      <c r="F10" s="43"/>
      <c r="G10" s="43"/>
      <c r="H10" s="44"/>
    </row>
    <row r="11" spans="2:15" ht="15.75" thickBot="1" x14ac:dyDescent="0.3">
      <c r="B11" s="41"/>
      <c r="C11" s="58" t="s">
        <v>52</v>
      </c>
      <c r="D11" s="58"/>
      <c r="E11" s="53" t="s">
        <v>69</v>
      </c>
      <c r="F11" s="43"/>
      <c r="G11" s="43"/>
      <c r="H11" s="44"/>
    </row>
    <row r="12" spans="2:15" ht="15.75" thickTop="1" x14ac:dyDescent="0.25">
      <c r="B12" s="41"/>
      <c r="C12" s="42"/>
      <c r="D12" s="42"/>
      <c r="E12" s="51"/>
      <c r="F12" s="43"/>
      <c r="G12" s="43"/>
      <c r="H12" s="44"/>
    </row>
    <row r="13" spans="2:15" ht="15.75" thickBot="1" x14ac:dyDescent="0.3">
      <c r="B13" s="41"/>
      <c r="C13" s="58" t="s">
        <v>53</v>
      </c>
      <c r="D13" s="58"/>
      <c r="E13" s="53">
        <v>42016</v>
      </c>
      <c r="F13" s="43"/>
      <c r="G13" s="43"/>
      <c r="H13" s="44"/>
    </row>
    <row r="14" spans="2:15" ht="15.75" thickTop="1" x14ac:dyDescent="0.25">
      <c r="B14" s="41"/>
      <c r="C14" s="42"/>
      <c r="D14" s="42"/>
      <c r="E14" s="51"/>
      <c r="F14" s="43"/>
      <c r="G14" s="43"/>
      <c r="H14" s="44"/>
    </row>
    <row r="15" spans="2:15" ht="15.75" thickBot="1" x14ac:dyDescent="0.3">
      <c r="B15" s="41"/>
      <c r="C15" s="58" t="s">
        <v>6</v>
      </c>
      <c r="D15" s="58"/>
      <c r="E15" s="53">
        <v>125000</v>
      </c>
      <c r="F15" s="43"/>
      <c r="G15" s="43"/>
      <c r="H15" s="44"/>
    </row>
    <row r="16" spans="2:15" ht="15.75" thickTop="1" x14ac:dyDescent="0.25">
      <c r="B16" s="41"/>
      <c r="C16" s="42"/>
      <c r="D16" s="42"/>
      <c r="E16" s="51"/>
      <c r="F16" s="43"/>
      <c r="G16" s="43"/>
      <c r="H16" s="44"/>
    </row>
    <row r="17" spans="2:8" ht="15.75" thickBot="1" x14ac:dyDescent="0.3">
      <c r="B17" s="41"/>
      <c r="C17" s="58" t="s">
        <v>31</v>
      </c>
      <c r="D17" s="58"/>
      <c r="E17" s="52">
        <v>6</v>
      </c>
      <c r="F17" s="43"/>
      <c r="G17" s="43"/>
      <c r="H17" s="44"/>
    </row>
    <row r="18" spans="2:8" ht="15.75" thickTop="1" x14ac:dyDescent="0.25">
      <c r="B18" s="41"/>
      <c r="C18" s="42"/>
      <c r="D18" s="42"/>
      <c r="E18" s="51"/>
      <c r="F18" s="43"/>
      <c r="G18" s="43"/>
      <c r="H18" s="44"/>
    </row>
    <row r="19" spans="2:8" ht="16.5" thickBot="1" x14ac:dyDescent="0.3">
      <c r="B19" s="41"/>
      <c r="C19" s="59" t="s">
        <v>8</v>
      </c>
      <c r="D19" s="59"/>
      <c r="E19" s="55" t="s">
        <v>70</v>
      </c>
      <c r="F19" s="56" t="s">
        <v>55</v>
      </c>
      <c r="G19" s="43"/>
      <c r="H19" s="44"/>
    </row>
    <row r="20" spans="2:8" ht="15.75" thickTop="1" x14ac:dyDescent="0.25">
      <c r="B20" s="41"/>
      <c r="C20" s="42"/>
      <c r="D20" s="42"/>
      <c r="E20" s="51"/>
      <c r="F20" s="43"/>
      <c r="G20" s="43"/>
      <c r="H20" s="44"/>
    </row>
    <row r="21" spans="2:8" x14ac:dyDescent="0.25">
      <c r="B21" s="41"/>
      <c r="C21" s="42"/>
      <c r="D21" s="42"/>
      <c r="E21" s="51"/>
      <c r="F21" s="43"/>
      <c r="G21" s="43"/>
      <c r="H21" s="44"/>
    </row>
    <row r="22" spans="2:8" x14ac:dyDescent="0.25">
      <c r="B22" s="41"/>
      <c r="C22" s="42"/>
      <c r="D22" s="42"/>
      <c r="E22" s="51"/>
      <c r="F22" s="43"/>
      <c r="G22" s="43"/>
      <c r="H22" s="44"/>
    </row>
    <row r="23" spans="2:8" x14ac:dyDescent="0.25">
      <c r="B23" s="41"/>
      <c r="C23" s="42"/>
      <c r="D23" s="42"/>
      <c r="E23" s="51"/>
      <c r="F23" s="43"/>
      <c r="G23" s="43"/>
      <c r="H23" s="44"/>
    </row>
    <row r="24" spans="2:8" x14ac:dyDescent="0.25">
      <c r="B24" s="41"/>
      <c r="C24" s="42"/>
      <c r="D24" s="42"/>
      <c r="E24" s="51"/>
      <c r="F24" s="43"/>
      <c r="G24" s="43"/>
      <c r="H24" s="44"/>
    </row>
    <row r="25" spans="2:8" x14ac:dyDescent="0.25">
      <c r="B25" s="41"/>
      <c r="C25" s="42"/>
      <c r="D25" s="42"/>
      <c r="E25" s="51"/>
      <c r="F25" s="43"/>
      <c r="G25" s="43"/>
      <c r="H25" s="44"/>
    </row>
    <row r="26" spans="2:8" x14ac:dyDescent="0.25">
      <c r="B26" s="41"/>
      <c r="C26" s="42"/>
      <c r="D26" s="42"/>
      <c r="E26" s="51"/>
      <c r="F26" s="43"/>
      <c r="G26" s="43"/>
      <c r="H26" s="44"/>
    </row>
    <row r="27" spans="2:8" x14ac:dyDescent="0.25">
      <c r="B27" s="41"/>
      <c r="C27" s="42"/>
      <c r="D27" s="42"/>
      <c r="E27" s="51"/>
      <c r="F27" s="43"/>
      <c r="G27" s="43"/>
      <c r="H27" s="44"/>
    </row>
    <row r="28" spans="2:8" x14ac:dyDescent="0.25">
      <c r="B28" s="41"/>
      <c r="C28" s="42"/>
      <c r="D28" s="42"/>
      <c r="E28" s="51"/>
      <c r="F28" s="43"/>
      <c r="G28" s="43"/>
      <c r="H28" s="44"/>
    </row>
    <row r="29" spans="2:8" x14ac:dyDescent="0.25">
      <c r="B29" s="41"/>
      <c r="C29" s="42"/>
      <c r="D29" s="42"/>
      <c r="E29" s="51"/>
      <c r="F29" s="43"/>
      <c r="G29" s="43"/>
      <c r="H29" s="44"/>
    </row>
    <row r="30" spans="2:8" x14ac:dyDescent="0.25">
      <c r="B30" s="41"/>
      <c r="C30" s="42"/>
      <c r="D30" s="42"/>
      <c r="E30" s="51"/>
      <c r="F30" s="43"/>
      <c r="G30" s="43"/>
      <c r="H30" s="44"/>
    </row>
    <row r="31" spans="2:8" x14ac:dyDescent="0.25">
      <c r="B31" s="41"/>
      <c r="C31" s="42"/>
      <c r="D31" s="42"/>
      <c r="E31" s="51"/>
      <c r="F31" s="43"/>
      <c r="G31" s="43"/>
      <c r="H31" s="44"/>
    </row>
    <row r="32" spans="2:8" x14ac:dyDescent="0.25">
      <c r="B32" s="41"/>
      <c r="C32" s="42"/>
      <c r="D32" s="42"/>
      <c r="E32" s="51"/>
      <c r="F32" s="43"/>
      <c r="G32" s="43"/>
      <c r="H32" s="44"/>
    </row>
    <row r="33" spans="2:8" x14ac:dyDescent="0.25">
      <c r="B33" s="41"/>
      <c r="C33" s="42"/>
      <c r="D33" s="42"/>
      <c r="E33" s="51"/>
      <c r="F33" s="43"/>
      <c r="G33" s="43"/>
      <c r="H33" s="44"/>
    </row>
    <row r="34" spans="2:8" x14ac:dyDescent="0.25">
      <c r="B34" s="41"/>
      <c r="C34" s="60" t="s">
        <v>54</v>
      </c>
      <c r="D34" s="60"/>
      <c r="E34" s="60"/>
      <c r="F34" s="43"/>
      <c r="G34" s="43"/>
      <c r="H34" s="44"/>
    </row>
    <row r="35" spans="2:8" x14ac:dyDescent="0.25">
      <c r="B35" s="41"/>
      <c r="C35" s="60"/>
      <c r="D35" s="60"/>
      <c r="E35" s="60"/>
      <c r="F35" s="43"/>
      <c r="G35" s="43"/>
      <c r="H35" s="44"/>
    </row>
    <row r="36" spans="2:8" x14ac:dyDescent="0.25">
      <c r="B36" s="41"/>
      <c r="C36" s="60"/>
      <c r="D36" s="60"/>
      <c r="E36" s="60"/>
      <c r="F36" s="43"/>
      <c r="G36" s="43"/>
      <c r="H36" s="44"/>
    </row>
    <row r="37" spans="2:8" x14ac:dyDescent="0.25">
      <c r="B37" s="41"/>
      <c r="C37" s="60"/>
      <c r="D37" s="60"/>
      <c r="E37" s="60"/>
      <c r="F37" s="43"/>
      <c r="G37" s="43"/>
      <c r="H37" s="44"/>
    </row>
    <row r="38" spans="2:8" ht="15.75" thickBot="1" x14ac:dyDescent="0.3">
      <c r="B38" s="45"/>
      <c r="C38" s="46"/>
      <c r="D38" s="46"/>
      <c r="E38" s="54"/>
      <c r="F38" s="47"/>
      <c r="G38" s="47"/>
      <c r="H38" s="48"/>
    </row>
  </sheetData>
  <mergeCells count="10">
    <mergeCell ref="C2:H3"/>
    <mergeCell ref="C5:D5"/>
    <mergeCell ref="C7:D7"/>
    <mergeCell ref="C9:D9"/>
    <mergeCell ref="C11:D11"/>
    <mergeCell ref="C13:D13"/>
    <mergeCell ref="C15:D15"/>
    <mergeCell ref="C17:D17"/>
    <mergeCell ref="C19:D19"/>
    <mergeCell ref="C34:E3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7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ddTraDa.hoja</vt:lpstr>
      <vt:lpstr>Hoja1</vt:lpstr>
      <vt:lpstr>Hoja2</vt:lpstr>
      <vt:lpstr>Hoja3</vt:lpstr>
      <vt:lpstr>Hoja4</vt:lpstr>
      <vt:lpstr>Hoja5</vt:lpstr>
      <vt:lpstr>Hoja6</vt:lpstr>
      <vt:lpstr>Gráfico1</vt:lpstr>
      <vt:lpstr>ddTraDa.hoja!Área_de_extracción</vt:lpstr>
      <vt:lpstr>Tabla1</vt:lpstr>
    </vt:vector>
  </TitlesOfParts>
  <Company>Private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Private</dc:creator>
  <cp:lastModifiedBy>GtzGuel</cp:lastModifiedBy>
  <cp:lastPrinted>2015-11-26T19:49:27Z</cp:lastPrinted>
  <dcterms:created xsi:type="dcterms:W3CDTF">2011-04-19T03:28:26Z</dcterms:created>
  <dcterms:modified xsi:type="dcterms:W3CDTF">2015-11-26T19:50:54Z</dcterms:modified>
</cp:coreProperties>
</file>